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分销线下订单导入模板" sheetId="1" r:id="rId1"/>
    <sheet name="Sheet1" sheetId="2" r:id="rId2"/>
    <sheet name="Sheet2" sheetId="3" r:id="rId3"/>
  </sheets>
  <definedNames>
    <definedName name="_xlnm._FilterDatabase" localSheetId="0" hidden="1">分销线下订单导入模板!$A$1:$N$6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<sst xmlns="http://schemas.openxmlformats.org/spreadsheetml/2006/main" count="72" uniqueCount="63">
  <si>
    <t>平台订单号</t>
  </si>
  <si>
    <t>收件人姓名</t>
  </si>
  <si>
    <t>收件人手机号/电话</t>
  </si>
  <si>
    <t>收件人地址</t>
  </si>
  <si>
    <t>分销商家编码</t>
  </si>
  <si>
    <t>条形码</t>
  </si>
  <si>
    <t>货品数量</t>
  </si>
  <si>
    <t>货品单价</t>
  </si>
  <si>
    <t>金额小计</t>
  </si>
  <si>
    <t>邮费收入</t>
  </si>
  <si>
    <t>店铺</t>
  </si>
  <si>
    <t>买家留言</t>
  </si>
  <si>
    <t>客服备注</t>
  </si>
  <si>
    <t>买家昵称</t>
  </si>
  <si>
    <t>【地瓜匠】鲜薯私域货盘（升级顺丰包邮）</t>
  </si>
  <si>
    <t>产品</t>
  </si>
  <si>
    <t>产品编码</t>
  </si>
  <si>
    <t>识别码</t>
  </si>
  <si>
    <t>规格</t>
  </si>
  <si>
    <t>私域开团价</t>
  </si>
  <si>
    <t>大团长供货价</t>
  </si>
  <si>
    <t>帮卖供货价</t>
  </si>
  <si>
    <t>大团长毛利</t>
  </si>
  <si>
    <t>帮卖团长毛利</t>
  </si>
  <si>
    <t>团长直客毛利</t>
  </si>
  <si>
    <t>小火星成本-待定</t>
  </si>
  <si>
    <t>小火星毛利</t>
  </si>
  <si>
    <t>小火星毛利率</t>
  </si>
  <si>
    <t>销售佣金</t>
  </si>
  <si>
    <t>扣除销售佣金后毛利率</t>
  </si>
  <si>
    <t>扣除销售佣金后毛利</t>
  </si>
  <si>
    <t>哈密冰糖薯中果3斤</t>
  </si>
  <si>
    <t>sjhmsza03</t>
  </si>
  <si>
    <t>中果3斤（150克-400克）</t>
  </si>
  <si>
    <t>哈密冰糖薯中果4.5斤</t>
  </si>
  <si>
    <t>sjhmsza45</t>
  </si>
  <si>
    <t>中果4.5斤（150克-400克）</t>
  </si>
  <si>
    <t>六鳌蜜薯（西瓜红）小果3斤</t>
  </si>
  <si>
    <t>sjxghxa03</t>
  </si>
  <si>
    <t>小果3斤（50克-150克）</t>
  </si>
  <si>
    <t>六鳌蜜薯（西瓜红）小果4.5斤</t>
  </si>
  <si>
    <t>sjxghxa45</t>
  </si>
  <si>
    <t>小果4.5斤（50克-150克）</t>
  </si>
  <si>
    <t>榴莲蜜薯中果3斤</t>
  </si>
  <si>
    <t>sjllmsza03</t>
  </si>
  <si>
    <t>榴莲蜜薯中果4.5斤</t>
  </si>
  <si>
    <t>sjllmsza45</t>
  </si>
  <si>
    <t>榴莲蜜薯礼盒</t>
  </si>
  <si>
    <t>sj03lh45</t>
  </si>
  <si>
    <t>大果4.5斤（250克-350克）</t>
  </si>
  <si>
    <t>注：快递默认发顺丰快递；其中新疆，西藏，青海，内蒙古，甘肃，宁夏等6个偏远地区不发货。</t>
  </si>
  <si>
    <t>张万森</t>
  </si>
  <si>
    <t>18466536215-8478</t>
  </si>
  <si>
    <t>广东省 梅州市 五华县 岐岭镇荣华5号岐岭镇人民政府</t>
  </si>
  <si>
    <t>丘竞琳</t>
  </si>
  <si>
    <t>17817939647-7013</t>
  </si>
  <si>
    <t>广东省 梅州市 五华县 岐岭镇荣华街5号岐岭镇人民政府</t>
  </si>
  <si>
    <t>汪静雯</t>
  </si>
  <si>
    <t>15784006787-2122</t>
  </si>
  <si>
    <t>江苏省 南京市 溧水区 永阳街道佳兆业悦峰府19栋502   不要放代收点！！！</t>
  </si>
  <si>
    <t>梁琪</t>
  </si>
  <si>
    <t>17863685449-5431</t>
  </si>
  <si>
    <t>山东省 潍坊市 诸城市 密州街道睿智教育和平街171号工会大厦二楼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</si>
</sst>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_ "/>
  </numFmts>
  <fonts count="28">
    <font>
      <sz val="11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color rgb="FFF54A45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2"/>
      <color rgb="FF000000"/>
      <name val="宋体"/>
      <charset val="134"/>
    </font>
    <font>
      <sz val="11"/>
      <color indexed="8"/>
      <name val="等线"/>
      <charset val="134"/>
      <scheme val="minor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1F2329"/>
      </left>
      <right/>
      <top style="medium">
        <color rgb="FF1F2329"/>
      </top>
      <bottom style="medium">
        <color rgb="FF1F2329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7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  <xf numFmtId="0" fontId="0" fillId="3" borderId="2" xfId="0" applyFont="1" applyFill="1" applyBorder="1" applyAlignment="1">
      <alignment vertical="center"/>
    </xf>
    <xf numFmtId="176" fontId="0" fillId="0" borderId="2" xfId="3" applyNumberFormat="1" applyBorder="1">
      <alignment vertical="center"/>
    </xf>
    <xf numFmtId="177" fontId="0" fillId="0" borderId="2" xfId="0" applyNumberFormat="1" applyFont="1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0" borderId="3" xfId="0" applyFont="1" applyFill="1" applyBorder="1" applyAlignment="1">
      <alignment vertical="center"/>
    </xf>
    <xf numFmtId="0" fontId="0" fillId="0" borderId="2" xfId="0" applyFill="1" applyBorder="1" applyAlignment="1">
      <alignment horizontal="left" vertical="center"/>
    </xf>
    <xf numFmtId="49" fontId="0" fillId="0" borderId="0" xfId="0" applyNumberFormat="1"/>
    <xf numFmtId="49" fontId="3" fillId="0" borderId="4" xfId="0" applyNumberFormat="1" applyFont="1" applyBorder="1" applyAlignment="1">
      <alignment vertical="center"/>
    </xf>
    <xf numFmtId="49" fontId="4" fillId="0" borderId="4" xfId="0" applyNumberFormat="1" applyFont="1" applyBorder="1" applyAlignment="1">
      <alignment vertical="center"/>
    </xf>
    <xf numFmtId="49" fontId="5" fillId="0" borderId="4" xfId="0" applyNumberFormat="1" applyFont="1" applyBorder="1" applyAlignment="1">
      <alignment vertical="center"/>
    </xf>
    <xf numFmtId="0" fontId="5" fillId="0" borderId="4" xfId="0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6" fillId="0" borderId="0" xfId="0" applyNumberFormat="1" applyFont="1" applyAlignment="1">
      <alignment vertical="center"/>
    </xf>
    <xf numFmtId="49" fontId="7" fillId="0" borderId="0" xfId="0" applyNumberFormat="1" applyFont="1" applyFill="1" applyAlignment="1">
      <alignment horizontal="left" vertical="center"/>
    </xf>
    <xf numFmtId="0" fontId="7" fillId="0" borderId="0" xfId="0" applyNumberFormat="1" applyFont="1" applyFill="1" applyBorder="1" applyAlignment="1">
      <alignment horizontal="left" vertical="center"/>
    </xf>
    <xf numFmtId="0" fontId="8" fillId="0" borderId="6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0"/>
  <sheetViews>
    <sheetView tabSelected="1" topLeftCell="B1" workbookViewId="0">
      <selection activeCell="E17" sqref="E17"/>
    </sheetView>
  </sheetViews>
  <sheetFormatPr defaultColWidth="9" defaultRowHeight="14.25"/>
  <cols>
    <col min="1" max="1" width="11.5" style="18" hidden="1" customWidth="1"/>
    <col min="2" max="2" width="23.775" style="18" customWidth="1"/>
    <col min="3" max="3" width="23.3333333333333" style="18" customWidth="1"/>
    <col min="4" max="4" width="25.2166666666667" style="18" customWidth="1"/>
    <col min="5" max="6" width="45.6666666666667" style="18" customWidth="1"/>
    <col min="7" max="7" width="11.3333333333333" style="18" customWidth="1"/>
    <col min="8" max="8" width="28.8833333333333" style="18" customWidth="1"/>
    <col min="9" max="10" width="28.8833333333333" style="18" hidden="1" customWidth="1"/>
    <col min="11" max="11" width="14.1083333333333" style="18" hidden="1" customWidth="1"/>
    <col min="12" max="12" width="16.775" style="18" hidden="1" customWidth="1"/>
    <col min="13" max="13" width="33.8833333333333" style="18" hidden="1" customWidth="1"/>
    <col min="14" max="14" width="23.6666666666667" style="18" customWidth="1"/>
    <col min="15" max="15" width="16.1083333333333" style="18" customWidth="1"/>
    <col min="16" max="16" width="13.3333333333333" style="18" customWidth="1"/>
    <col min="17" max="17" width="10.8833333333333" style="18" customWidth="1"/>
    <col min="18" max="16384" width="9" style="18"/>
  </cols>
  <sheetData>
    <row r="1" ht="16.5" spans="1:17">
      <c r="A1" s="19" t="s">
        <v>0</v>
      </c>
      <c r="B1" s="20" t="s">
        <v>1</v>
      </c>
      <c r="C1" s="20" t="s">
        <v>2</v>
      </c>
      <c r="D1" s="20" t="s">
        <v>3</v>
      </c>
      <c r="E1" s="21" t="s">
        <v>4</v>
      </c>
      <c r="F1" s="22" t="s">
        <v>5</v>
      </c>
      <c r="G1" s="21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23" t="s">
        <v>12</v>
      </c>
      <c r="N1" s="19" t="s">
        <v>13</v>
      </c>
      <c r="O1" s="24"/>
      <c r="P1" s="24"/>
      <c r="Q1" s="24"/>
    </row>
    <row r="2" ht="16.5" spans="1:17">
      <c r="A2" s="19"/>
      <c r="B2"/>
      <c r="C2"/>
      <c r="D2"/>
      <c r="E2" s="9"/>
      <c r="F2" s="9"/>
      <c r="G2" s="25"/>
      <c r="H2" s="15"/>
      <c r="I2" s="19"/>
      <c r="J2" s="19"/>
      <c r="K2" s="19"/>
      <c r="L2" s="19"/>
      <c r="M2" s="19"/>
      <c r="N2" s="25"/>
    </row>
    <row r="3" spans="1:17">
      <c r="B3"/>
      <c r="C3"/>
      <c r="D3"/>
      <c r="E3" s="9"/>
      <c r="F3" s="9"/>
      <c r="G3" s="25"/>
      <c r="H3" s="15"/>
      <c r="N3" s="25"/>
    </row>
    <row r="4" spans="1:17">
      <c r="B4"/>
      <c r="C4"/>
      <c r="D4"/>
      <c r="E4" s="16"/>
      <c r="F4" s="16"/>
      <c r="G4" s="25"/>
      <c r="H4" s="15"/>
      <c r="N4" s="25"/>
    </row>
    <row r="5" spans="1:17">
      <c r="B5"/>
      <c r="C5"/>
      <c r="D5"/>
      <c r="E5" s="9"/>
      <c r="F5" s="9"/>
      <c r="G5" s="25"/>
      <c r="H5" s="15"/>
      <c r="N5" s="25"/>
    </row>
    <row r="6" spans="1:17">
      <c r="B6" s="25"/>
      <c r="C6" s="25"/>
      <c r="D6" s="25"/>
      <c r="E6" s="25"/>
      <c r="F6" s="25"/>
      <c r="G6" s="25"/>
      <c r="H6" s="15"/>
      <c r="N6" s="25"/>
    </row>
    <row r="7" spans="1:17">
      <c r="B7" s="25"/>
      <c r="C7" s="25"/>
      <c r="D7" s="25"/>
      <c r="E7" s="25"/>
      <c r="F7" s="25"/>
      <c r="G7" s="25"/>
      <c r="H7" s="26"/>
      <c r="N7" s="25"/>
    </row>
    <row r="8" spans="1:17">
      <c r="B8" s="25"/>
      <c r="C8" s="25"/>
      <c r="D8" s="25"/>
      <c r="E8" s="25"/>
      <c r="F8" s="25"/>
      <c r="G8" s="25"/>
      <c r="H8" s="26"/>
      <c r="N8" s="25"/>
    </row>
    <row r="9" spans="1:17">
      <c r="B9" s="25"/>
      <c r="C9" s="25"/>
      <c r="D9" s="25"/>
      <c r="E9" s="25"/>
      <c r="F9" s="25"/>
      <c r="G9" s="25"/>
      <c r="H9" s="26"/>
      <c r="N9" s="25"/>
    </row>
    <row r="10" spans="1:17">
      <c r="B10" s="25"/>
      <c r="C10" s="25"/>
      <c r="D10" s="25"/>
      <c r="E10" s="25"/>
      <c r="F10" s="25"/>
      <c r="G10" s="25"/>
      <c r="H10" s="26"/>
      <c r="N10" s="25"/>
    </row>
    <row r="11" spans="1:17">
      <c r="B11" s="25"/>
      <c r="C11" s="25"/>
      <c r="D11" s="25"/>
      <c r="E11" s="25"/>
      <c r="F11" s="25"/>
      <c r="G11" s="25"/>
      <c r="H11" s="26"/>
      <c r="N11" s="25"/>
    </row>
    <row r="12" spans="1:17">
      <c r="B12" s="25"/>
      <c r="C12" s="25"/>
      <c r="D12" s="25"/>
      <c r="E12" s="25"/>
      <c r="F12" s="25"/>
      <c r="G12" s="25"/>
      <c r="H12" s="26"/>
      <c r="N12" s="25"/>
    </row>
    <row r="13" spans="1:17">
      <c r="B13" s="25"/>
      <c r="C13" s="25"/>
      <c r="D13" s="25"/>
      <c r="E13" s="25"/>
      <c r="F13" s="25"/>
      <c r="G13" s="25"/>
      <c r="H13" s="26"/>
      <c r="N13" s="25"/>
    </row>
    <row r="14" spans="1:17">
      <c r="B14" s="25"/>
      <c r="C14" s="25"/>
      <c r="D14" s="25"/>
      <c r="E14" s="25"/>
      <c r="F14" s="25"/>
      <c r="G14" s="25"/>
      <c r="H14" s="26"/>
      <c r="N14" s="25"/>
    </row>
    <row r="15" spans="1:17">
      <c r="B15" s="25"/>
      <c r="C15" s="25"/>
      <c r="D15" s="25"/>
      <c r="E15" s="25"/>
      <c r="F15" s="25"/>
      <c r="G15" s="25"/>
      <c r="H15" s="26"/>
      <c r="N15" s="25"/>
    </row>
    <row r="16" spans="1:17">
      <c r="B16" s="25"/>
      <c r="C16" s="25"/>
      <c r="D16" s="25"/>
      <c r="E16" s="25"/>
      <c r="F16" s="25"/>
      <c r="G16" s="25"/>
      <c r="H16" s="26"/>
      <c r="N16" s="25"/>
    </row>
    <row r="17" spans="2:14">
      <c r="B17" s="25"/>
      <c r="C17" s="25"/>
      <c r="D17" s="25"/>
      <c r="E17" s="25"/>
      <c r="F17" s="25"/>
      <c r="G17" s="25"/>
      <c r="H17" s="26"/>
      <c r="N17" s="25"/>
    </row>
    <row r="18" spans="2:14">
      <c r="B18" s="25"/>
      <c r="C18" s="25"/>
      <c r="D18" s="25"/>
      <c r="E18" s="25"/>
      <c r="F18" s="25"/>
      <c r="G18" s="25"/>
      <c r="H18" s="26"/>
      <c r="N18" s="25"/>
    </row>
    <row r="19" spans="2:14">
      <c r="B19" s="25"/>
      <c r="C19" s="25"/>
      <c r="D19" s="25"/>
      <c r="E19" s="25"/>
      <c r="F19" s="25"/>
      <c r="G19" s="25"/>
      <c r="H19" s="26"/>
      <c r="N19" s="25"/>
    </row>
    <row r="20" ht="15" spans="2:14">
      <c r="B20" s="25"/>
      <c r="C20" s="25"/>
      <c r="D20" s="25"/>
      <c r="E20" s="25"/>
      <c r="F20" s="25"/>
      <c r="G20" s="25"/>
      <c r="H20" s="26"/>
      <c r="N20" s="25"/>
    </row>
    <row r="21" ht="15" spans="2:14">
      <c r="F21" s="27"/>
    </row>
    <row r="22" ht="15" spans="2:14">
      <c r="F22" s="27"/>
    </row>
    <row r="23" ht="15" spans="2:14">
      <c r="F23" s="27"/>
    </row>
    <row r="24" ht="15" spans="2:14">
      <c r="F24" s="27"/>
    </row>
    <row r="25" ht="15" spans="2:14">
      <c r="F25" s="27"/>
    </row>
    <row r="26" ht="15" spans="2:14">
      <c r="F26" s="27"/>
    </row>
    <row r="27" ht="15" spans="2:14">
      <c r="F27" s="27"/>
    </row>
    <row r="28" ht="15" spans="2:14">
      <c r="F28" s="27"/>
    </row>
    <row r="29" ht="15" spans="2:14">
      <c r="F29" s="27"/>
    </row>
    <row r="30" ht="15" spans="2:14">
      <c r="F30" s="27"/>
    </row>
    <row r="31" ht="15" spans="2:14">
      <c r="F31" s="27"/>
    </row>
    <row r="32" ht="15" spans="2:14">
      <c r="F32" s="27"/>
    </row>
    <row r="33" ht="15" spans="6:6">
      <c r="F33" s="27"/>
    </row>
    <row r="34" ht="15" spans="6:6">
      <c r="F34" s="27"/>
    </row>
    <row r="35" ht="15" spans="6:6">
      <c r="F35" s="27"/>
    </row>
    <row r="36" ht="15" spans="6:6">
      <c r="F36" s="27"/>
    </row>
    <row r="37" ht="15" spans="6:6">
      <c r="F37" s="27"/>
    </row>
    <row r="38" ht="15" spans="6:6">
      <c r="F38" s="27"/>
    </row>
    <row r="39" ht="15" spans="6:6">
      <c r="F39" s="27"/>
    </row>
    <row r="40" ht="15" spans="6:6">
      <c r="F40" s="27"/>
    </row>
    <row r="41" ht="15" spans="6:6">
      <c r="F41" s="27"/>
    </row>
    <row r="42" ht="15" spans="6:6">
      <c r="F42" s="27"/>
    </row>
    <row r="43" ht="15" spans="6:6">
      <c r="F43" s="27"/>
    </row>
    <row r="44" ht="15" spans="6:6">
      <c r="F44" s="27"/>
    </row>
    <row r="45" ht="15" spans="6:6">
      <c r="F45" s="27"/>
    </row>
    <row r="46" ht="15" spans="6:6">
      <c r="F46" s="27"/>
    </row>
    <row r="47" ht="15" spans="6:6">
      <c r="F47" s="27"/>
    </row>
    <row r="48" ht="15" spans="6:6">
      <c r="F48" s="27"/>
    </row>
    <row r="49" ht="15" spans="6:6">
      <c r="F49" s="27"/>
    </row>
    <row r="50" ht="15" spans="6:6">
      <c r="F50" s="27"/>
    </row>
    <row r="51" ht="15" spans="6:6">
      <c r="F51" s="27"/>
    </row>
    <row r="52" ht="15" spans="6:6">
      <c r="F52" s="27"/>
    </row>
    <row r="53" ht="15" spans="6:6">
      <c r="F53" s="27"/>
    </row>
    <row r="54" ht="15" spans="6:6">
      <c r="F54" s="27"/>
    </row>
    <row r="55" ht="15" spans="6:6">
      <c r="F55" s="27"/>
    </row>
    <row r="56" ht="15" spans="6:6">
      <c r="F56" s="27"/>
    </row>
    <row r="57" ht="15" spans="6:6">
      <c r="F57" s="27"/>
    </row>
    <row r="58" ht="15" spans="6:6">
      <c r="F58" s="27"/>
    </row>
    <row r="59" ht="15" spans="6:6">
      <c r="F59" s="27"/>
    </row>
    <row r="60" ht="15" spans="6:6">
      <c r="F60" s="27"/>
    </row>
    <row r="61" ht="15" spans="6:6">
      <c r="F61" s="27"/>
    </row>
    <row r="62" ht="15" spans="6:6">
      <c r="F62" s="27"/>
    </row>
    <row r="63" ht="15" spans="6:6">
      <c r="F63" s="27"/>
    </row>
    <row r="64" ht="15" spans="6:6">
      <c r="F64" s="27"/>
    </row>
    <row r="65" ht="15" spans="6:6">
      <c r="F65" s="27"/>
    </row>
    <row r="66" ht="15" spans="6:6">
      <c r="F66" s="27"/>
    </row>
    <row r="67" ht="15" spans="6:6">
      <c r="F67" s="27"/>
    </row>
    <row r="68" ht="15" spans="6:6">
      <c r="F68" s="27"/>
    </row>
    <row r="69" ht="15" spans="6:6">
      <c r="F69" s="27"/>
    </row>
    <row r="70" ht="15" spans="6:6">
      <c r="F70" s="27"/>
    </row>
    <row r="71" ht="15" spans="6:6">
      <c r="F71" s="27"/>
    </row>
    <row r="72" ht="15" spans="6:6">
      <c r="F72" s="27"/>
    </row>
    <row r="73" ht="15" spans="6:6">
      <c r="F73" s="27"/>
    </row>
    <row r="74" ht="15" spans="6:6">
      <c r="F74" s="27"/>
    </row>
    <row r="75" ht="15" spans="6:6">
      <c r="F75" s="27"/>
    </row>
    <row r="76" ht="15" spans="6:6">
      <c r="F76" s="27"/>
    </row>
    <row r="77" ht="15" spans="6:6">
      <c r="F77" s="27"/>
    </row>
    <row r="78" ht="15" spans="6:6">
      <c r="F78" s="27"/>
    </row>
    <row r="79" ht="15" spans="6:6">
      <c r="F79" s="27"/>
    </row>
    <row r="80" ht="15" spans="6:6">
      <c r="F80" s="27"/>
    </row>
    <row r="81" ht="15" spans="6:6">
      <c r="F81" s="27"/>
    </row>
    <row r="82" ht="15" spans="6:6">
      <c r="F82" s="27"/>
    </row>
    <row r="83" ht="15" spans="6:6">
      <c r="F83" s="27"/>
    </row>
    <row r="84" ht="15" spans="6:6">
      <c r="F84" s="27"/>
    </row>
    <row r="85" ht="15" spans="6:6">
      <c r="F85" s="27"/>
    </row>
    <row r="86" ht="15" spans="6:6">
      <c r="F86" s="27"/>
    </row>
    <row r="87" ht="15" spans="6:6">
      <c r="F87" s="27"/>
    </row>
    <row r="88" ht="15" spans="6:6">
      <c r="F88" s="27"/>
    </row>
    <row r="89" ht="15" spans="6:6">
      <c r="F89" s="27"/>
    </row>
    <row r="90" ht="15" spans="6:6">
      <c r="F90" s="27"/>
    </row>
    <row r="91" ht="15" spans="6:6">
      <c r="F91" s="27"/>
    </row>
    <row r="92" ht="15" spans="6:6">
      <c r="F92" s="27"/>
    </row>
    <row r="93" ht="15" spans="6:6">
      <c r="F93" s="27"/>
    </row>
    <row r="94" ht="15" spans="6:6">
      <c r="F94" s="27"/>
    </row>
    <row r="95" ht="15" spans="6:6">
      <c r="F95" s="27"/>
    </row>
    <row r="96" ht="15" spans="6:6">
      <c r="F96" s="27"/>
    </row>
    <row r="97" ht="15" spans="6:6">
      <c r="F97" s="27"/>
    </row>
    <row r="98" ht="15" spans="6:6">
      <c r="F98" s="27"/>
    </row>
    <row r="99" ht="15" spans="6:6">
      <c r="F99" s="27"/>
    </row>
    <row r="100" ht="15" spans="6:6">
      <c r="F100" s="27"/>
    </row>
    <row r="101" ht="15" spans="6:6">
      <c r="F101" s="27"/>
    </row>
    <row r="102" ht="15" spans="6:6">
      <c r="F102" s="27"/>
    </row>
    <row r="103" ht="15" spans="6:6">
      <c r="F103" s="27"/>
    </row>
    <row r="104" ht="15" spans="6:6">
      <c r="F104" s="27"/>
    </row>
    <row r="105" ht="15" spans="6:6">
      <c r="F105" s="27"/>
    </row>
    <row r="106" ht="15" spans="6:6">
      <c r="F106" s="27"/>
    </row>
    <row r="107" ht="15" spans="6:6">
      <c r="F107" s="27"/>
    </row>
    <row r="108" ht="15" spans="6:6">
      <c r="F108" s="27"/>
    </row>
    <row r="109" ht="15" spans="6:6">
      <c r="F109" s="27"/>
    </row>
    <row r="110" ht="15" spans="6:6">
      <c r="F110" s="27"/>
    </row>
    <row r="111" ht="15" spans="6:6">
      <c r="F111" s="27"/>
    </row>
    <row r="112" ht="15" spans="6:6">
      <c r="F112" s="27"/>
    </row>
    <row r="113" ht="15" spans="6:6">
      <c r="F113" s="27"/>
    </row>
    <row r="114" ht="15" spans="6:6">
      <c r="F114" s="27"/>
    </row>
    <row r="115" ht="15" spans="6:6">
      <c r="F115" s="27"/>
    </row>
    <row r="116" ht="15" spans="6:6">
      <c r="F116" s="27"/>
    </row>
    <row r="117" ht="15" spans="6:6">
      <c r="F117" s="27"/>
    </row>
    <row r="118" ht="15" spans="6:6">
      <c r="F118" s="27"/>
    </row>
    <row r="119" ht="15" spans="6:6">
      <c r="F119" s="27"/>
    </row>
    <row r="120" ht="15" spans="6:6">
      <c r="F120" s="27"/>
    </row>
    <row r="121" ht="15" spans="6:6">
      <c r="F121" s="27"/>
    </row>
    <row r="122" ht="15" spans="6:6">
      <c r="F122" s="27"/>
    </row>
    <row r="123" ht="15" spans="6:6">
      <c r="F123" s="27"/>
    </row>
    <row r="124" ht="15" spans="6:6">
      <c r="F124" s="27"/>
    </row>
    <row r="125" ht="15" spans="6:6">
      <c r="F125" s="27"/>
    </row>
    <row r="126" ht="15" spans="6:6">
      <c r="F126" s="27"/>
    </row>
    <row r="127" ht="15" spans="6:6">
      <c r="F127" s="27"/>
    </row>
    <row r="128" ht="15" spans="6:6">
      <c r="F128" s="27"/>
    </row>
    <row r="129" ht="15" spans="6:6">
      <c r="F129" s="27"/>
    </row>
    <row r="130" ht="15" spans="6:6">
      <c r="F130" s="27"/>
    </row>
    <row r="131" ht="15" spans="6:6">
      <c r="F131" s="27"/>
    </row>
    <row r="132" ht="15" spans="6:6">
      <c r="F132" s="27"/>
    </row>
    <row r="133" ht="15" spans="6:6">
      <c r="F133" s="27"/>
    </row>
    <row r="134" ht="15" spans="6:6">
      <c r="F134" s="27"/>
    </row>
    <row r="135" ht="15" spans="6:6">
      <c r="F135" s="27"/>
    </row>
    <row r="136" ht="15" spans="6:6">
      <c r="F136" s="27"/>
    </row>
    <row r="137" ht="15" spans="6:6">
      <c r="F137" s="27"/>
    </row>
    <row r="138" ht="15" spans="6:6">
      <c r="F138" s="27"/>
    </row>
    <row r="139" ht="15" spans="6:6">
      <c r="F139" s="27"/>
    </row>
    <row r="140" ht="15" spans="6:6">
      <c r="F140" s="27"/>
    </row>
    <row r="141" ht="15" spans="6:6">
      <c r="F141" s="27"/>
    </row>
    <row r="142" ht="15" spans="6:6">
      <c r="F142" s="27"/>
    </row>
    <row r="143" ht="15" spans="6:6">
      <c r="F143" s="27"/>
    </row>
    <row r="144" ht="15" spans="6:6">
      <c r="F144" s="27"/>
    </row>
    <row r="145" ht="15" spans="6:6">
      <c r="F145" s="27"/>
    </row>
    <row r="146" ht="15" spans="6:6">
      <c r="F146" s="27"/>
    </row>
    <row r="147" ht="15" spans="6:6">
      <c r="F147" s="27"/>
    </row>
    <row r="148" ht="15" spans="6:6">
      <c r="F148" s="27"/>
    </row>
    <row r="149" ht="15" spans="6:6">
      <c r="F149" s="27"/>
    </row>
    <row r="150" ht="15" spans="6:6">
      <c r="F150" s="27"/>
    </row>
    <row r="151" ht="15" spans="6:6">
      <c r="F151" s="27"/>
    </row>
    <row r="152" ht="15" spans="6:6">
      <c r="F152" s="27"/>
    </row>
    <row r="153" ht="15" spans="6:6">
      <c r="F153" s="27"/>
    </row>
    <row r="154" ht="15" spans="6:6">
      <c r="F154" s="27"/>
    </row>
    <row r="155" ht="15" spans="6:6">
      <c r="F155" s="27"/>
    </row>
    <row r="156" ht="15" spans="6:6">
      <c r="F156" s="27"/>
    </row>
    <row r="157" ht="15" spans="6:6">
      <c r="F157" s="27"/>
    </row>
    <row r="158" ht="15" spans="6:6">
      <c r="F158" s="27"/>
    </row>
    <row r="159" ht="15" spans="6:6">
      <c r="F159" s="27"/>
    </row>
    <row r="160" ht="15" spans="6:6">
      <c r="F160" s="27"/>
    </row>
    <row r="161" ht="15" spans="6:6">
      <c r="F161" s="27"/>
    </row>
    <row r="162" ht="15" spans="6:6">
      <c r="F162" s="27"/>
    </row>
    <row r="163" ht="15" spans="6:6">
      <c r="F163" s="27"/>
    </row>
    <row r="164" ht="15" spans="6:6">
      <c r="F164" s="27"/>
    </row>
    <row r="165" ht="15" spans="6:6">
      <c r="F165" s="27"/>
    </row>
    <row r="166" ht="15" spans="6:6">
      <c r="F166" s="27"/>
    </row>
    <row r="167" ht="15" spans="6:6">
      <c r="F167" s="27"/>
    </row>
    <row r="168" ht="15" spans="6:6">
      <c r="F168" s="27"/>
    </row>
    <row r="169" ht="15" spans="6:6">
      <c r="F169" s="27"/>
    </row>
    <row r="170" ht="15" spans="6:6">
      <c r="F170" s="27"/>
    </row>
    <row r="171" ht="15" spans="6:6">
      <c r="F171" s="27"/>
    </row>
    <row r="172" ht="15" spans="6:6">
      <c r="F172" s="27"/>
    </row>
    <row r="173" ht="15" spans="6:6">
      <c r="F173" s="27"/>
    </row>
    <row r="174" ht="15" spans="6:6">
      <c r="F174" s="27"/>
    </row>
    <row r="175" ht="15" spans="6:6">
      <c r="F175" s="27"/>
    </row>
    <row r="176" ht="15" spans="6:6">
      <c r="F176" s="27"/>
    </row>
    <row r="177" ht="15" spans="6:6">
      <c r="F177" s="27"/>
    </row>
    <row r="178" ht="15" spans="6:6">
      <c r="F178" s="27"/>
    </row>
    <row r="179" ht="15" spans="6:6">
      <c r="F179" s="27"/>
    </row>
    <row r="180" ht="15" spans="6:6">
      <c r="F180" s="27"/>
    </row>
    <row r="181" ht="15" spans="6:6">
      <c r="F181" s="27"/>
    </row>
    <row r="182" ht="15" spans="6:6">
      <c r="F182" s="27"/>
    </row>
    <row r="183" ht="15" spans="6:6">
      <c r="F183" s="27"/>
    </row>
    <row r="184" ht="15" spans="6:6">
      <c r="F184" s="27"/>
    </row>
    <row r="185" ht="15" spans="6:6">
      <c r="F185" s="27"/>
    </row>
    <row r="186" ht="15" spans="6:6">
      <c r="F186" s="27"/>
    </row>
    <row r="187" ht="15" spans="6:6">
      <c r="F187" s="27"/>
    </row>
    <row r="188" ht="15" spans="6:6">
      <c r="F188" s="27"/>
    </row>
    <row r="189" ht="15" spans="6:6">
      <c r="F189" s="27"/>
    </row>
    <row r="190" ht="15" spans="6:6">
      <c r="F190" s="27"/>
    </row>
    <row r="191" ht="15" spans="6:6">
      <c r="F191" s="27"/>
    </row>
    <row r="192" ht="15" spans="6:6">
      <c r="F192" s="27"/>
    </row>
    <row r="193" ht="15" spans="6:6">
      <c r="F193" s="27"/>
    </row>
    <row r="194" ht="15" spans="6:6">
      <c r="F194" s="27"/>
    </row>
    <row r="195" ht="15" spans="6:6">
      <c r="F195" s="27"/>
    </row>
    <row r="196" ht="15" spans="6:6">
      <c r="F196" s="27"/>
    </row>
    <row r="197" ht="15" spans="6:6">
      <c r="F197" s="27"/>
    </row>
    <row r="198" ht="15" spans="6:6">
      <c r="F198" s="27"/>
    </row>
    <row r="199" ht="15" spans="6:6">
      <c r="F199" s="27"/>
    </row>
    <row r="200" ht="15" spans="6:6">
      <c r="F200" s="27"/>
    </row>
  </sheetData>
  <autoFilter xmlns:etc="http://www.wps.cn/officeDocument/2017/etCustomData" ref="A1:N6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workbookViewId="0">
      <selection activeCell="B8" sqref="B8"/>
    </sheetView>
  </sheetViews>
  <sheetFormatPr defaultColWidth="9" defaultRowHeight="14.25"/>
  <cols>
    <col min="1" max="1" width="28.125" customWidth="1"/>
    <col min="2" max="2" width="11" customWidth="1"/>
    <col min="3" max="3" width="11" hidden="1" customWidth="1"/>
    <col min="4" max="4" width="25.375" customWidth="1"/>
    <col min="5" max="5" width="10.875" customWidth="1"/>
    <col min="6" max="6" width="12.875" customWidth="1"/>
    <col min="7" max="8" width="10.875" customWidth="1"/>
    <col min="9" max="10" width="12.875" customWidth="1"/>
    <col min="11" max="11" width="16.125" customWidth="1"/>
    <col min="12" max="12" width="10.875" customWidth="1"/>
    <col min="13" max="13" width="12.875" customWidth="1"/>
    <col min="14" max="14" width="8.875" customWidth="1"/>
    <col min="15" max="15" width="21.25" customWidth="1"/>
    <col min="16" max="16" width="19.125" customWidth="1"/>
  </cols>
  <sheetData>
    <row r="1" s="1" customFormat="1" ht="39" customHeight="1" spans="1:16">
      <c r="A1" s="4" t="s">
        <v>14</v>
      </c>
      <c r="B1" s="4"/>
      <c r="C1" s="4"/>
      <c r="D1" s="4"/>
      <c r="E1" s="4"/>
      <c r="F1" s="4"/>
      <c r="G1" s="4"/>
      <c r="H1" s="4"/>
      <c r="I1" s="4"/>
      <c r="J1" s="4"/>
    </row>
    <row r="2" s="2" customFormat="1" ht="18" customHeight="1" spans="1:16">
      <c r="A2" s="5" t="s">
        <v>15</v>
      </c>
      <c r="B2" s="5" t="s">
        <v>16</v>
      </c>
      <c r="C2" s="5" t="s">
        <v>17</v>
      </c>
      <c r="D2" s="5" t="s">
        <v>18</v>
      </c>
      <c r="E2" s="6" t="s">
        <v>19</v>
      </c>
      <c r="F2" s="7" t="s">
        <v>20</v>
      </c>
      <c r="G2" s="6" t="s">
        <v>21</v>
      </c>
      <c r="H2" s="6" t="s">
        <v>22</v>
      </c>
      <c r="I2" s="6" t="s">
        <v>23</v>
      </c>
      <c r="J2" s="6" t="s">
        <v>24</v>
      </c>
      <c r="K2" s="8" t="s">
        <v>25</v>
      </c>
      <c r="L2" s="8" t="s">
        <v>26</v>
      </c>
      <c r="M2" s="8" t="s">
        <v>27</v>
      </c>
      <c r="N2" s="8" t="s">
        <v>28</v>
      </c>
      <c r="O2" s="8" t="s">
        <v>29</v>
      </c>
      <c r="P2" s="8" t="s">
        <v>30</v>
      </c>
    </row>
    <row r="3" s="3" customFormat="1" ht="18" customHeight="1" spans="1:16">
      <c r="A3" s="9" t="s">
        <v>31</v>
      </c>
      <c r="B3" s="9" t="s">
        <v>32</v>
      </c>
      <c r="C3" s="10" t="s">
        <v>32</v>
      </c>
      <c r="D3" s="9" t="s">
        <v>33</v>
      </c>
      <c r="E3" s="9">
        <v>16.9</v>
      </c>
      <c r="F3" s="11">
        <v>13</v>
      </c>
      <c r="G3" s="9">
        <v>14.4</v>
      </c>
      <c r="H3" s="9">
        <f t="shared" ref="H3:H6" si="0">G3-F3</f>
        <v>1.4</v>
      </c>
      <c r="I3" s="9">
        <f t="shared" ref="I3:I6" si="1">E3-G3</f>
        <v>2.5</v>
      </c>
      <c r="J3" s="9">
        <f t="shared" ref="J3:J6" si="2">E3-F3</f>
        <v>3.9</v>
      </c>
      <c r="K3" s="9">
        <v>11.45</v>
      </c>
      <c r="L3" s="9">
        <f t="shared" ref="L3:L8" si="3">F3-K3</f>
        <v>1.55</v>
      </c>
      <c r="M3" s="12">
        <f t="shared" ref="M3:M8" si="4">L3/F3</f>
        <v>0.119230769230769</v>
      </c>
      <c r="N3" s="9">
        <f t="shared" ref="N3:N8" si="5">F3*0.03</f>
        <v>0.39</v>
      </c>
      <c r="O3" s="12">
        <f t="shared" ref="O3:O8" si="6">(L3-N3)/F3</f>
        <v>0.0892307692307693</v>
      </c>
      <c r="P3" s="9">
        <f t="shared" ref="P3:P8" si="7">L3-N3</f>
        <v>1.16</v>
      </c>
    </row>
    <row r="4" s="3" customFormat="1" ht="18" customHeight="1" spans="1:16">
      <c r="A4" s="9" t="s">
        <v>34</v>
      </c>
      <c r="B4" s="9" t="s">
        <v>35</v>
      </c>
      <c r="C4" s="10" t="s">
        <v>35</v>
      </c>
      <c r="D4" s="9" t="s">
        <v>36</v>
      </c>
      <c r="E4" s="9">
        <v>22.9</v>
      </c>
      <c r="F4" s="11">
        <v>18</v>
      </c>
      <c r="G4" s="9">
        <v>19.9</v>
      </c>
      <c r="H4" s="9">
        <f t="shared" si="0"/>
        <v>1.9</v>
      </c>
      <c r="I4" s="9">
        <f t="shared" si="1"/>
        <v>3</v>
      </c>
      <c r="J4" s="9">
        <f t="shared" si="2"/>
        <v>4.9</v>
      </c>
      <c r="K4" s="9">
        <v>16.16</v>
      </c>
      <c r="L4" s="13">
        <f t="shared" si="3"/>
        <v>1.84</v>
      </c>
      <c r="M4" s="12">
        <f t="shared" si="4"/>
        <v>0.102222222222222</v>
      </c>
      <c r="N4" s="9">
        <f t="shared" si="5"/>
        <v>0.54</v>
      </c>
      <c r="O4" s="12">
        <f t="shared" si="6"/>
        <v>0.0722222222222222</v>
      </c>
      <c r="P4" s="9">
        <f t="shared" si="7"/>
        <v>1.3</v>
      </c>
    </row>
    <row r="5" s="3" customFormat="1" ht="18" customHeight="1" spans="1:16">
      <c r="A5" s="9" t="s">
        <v>37</v>
      </c>
      <c r="B5" s="9" t="s">
        <v>38</v>
      </c>
      <c r="C5" s="10" t="s">
        <v>38</v>
      </c>
      <c r="D5" s="9" t="s">
        <v>39</v>
      </c>
      <c r="E5" s="9">
        <v>9.9</v>
      </c>
      <c r="F5" s="11">
        <v>9</v>
      </c>
      <c r="G5" s="9">
        <v>9.4</v>
      </c>
      <c r="H5" s="9">
        <f t="shared" si="0"/>
        <v>0.4</v>
      </c>
      <c r="I5" s="9">
        <f t="shared" si="1"/>
        <v>0.5</v>
      </c>
      <c r="J5" s="9">
        <f t="shared" si="2"/>
        <v>0.9</v>
      </c>
      <c r="K5" s="9">
        <v>8.65</v>
      </c>
      <c r="L5" s="9">
        <f t="shared" si="3"/>
        <v>0.35</v>
      </c>
      <c r="M5" s="12">
        <f t="shared" si="4"/>
        <v>0.0388888888888888</v>
      </c>
      <c r="N5" s="9">
        <f>F5*0.02</f>
        <v>0.18</v>
      </c>
      <c r="O5" s="12">
        <f t="shared" si="6"/>
        <v>0.0188888888888889</v>
      </c>
      <c r="P5" s="9">
        <f t="shared" si="7"/>
        <v>0.17</v>
      </c>
    </row>
    <row r="6" s="3" customFormat="1" ht="18" customHeight="1" spans="1:16">
      <c r="A6" s="9" t="s">
        <v>40</v>
      </c>
      <c r="B6" s="9" t="s">
        <v>41</v>
      </c>
      <c r="C6" s="10" t="s">
        <v>41</v>
      </c>
      <c r="D6" s="9" t="s">
        <v>42</v>
      </c>
      <c r="E6" s="9">
        <v>13.9</v>
      </c>
      <c r="F6" s="11">
        <v>12.5</v>
      </c>
      <c r="G6" s="9">
        <v>13.3</v>
      </c>
      <c r="H6" s="9">
        <f t="shared" si="0"/>
        <v>0.800000000000001</v>
      </c>
      <c r="I6" s="9">
        <f t="shared" si="1"/>
        <v>0.6</v>
      </c>
      <c r="J6" s="9">
        <f t="shared" si="2"/>
        <v>1.4</v>
      </c>
      <c r="K6" s="9">
        <v>11.59</v>
      </c>
      <c r="L6" s="9">
        <f t="shared" si="3"/>
        <v>0.91</v>
      </c>
      <c r="M6" s="12">
        <f t="shared" si="4"/>
        <v>0.0728</v>
      </c>
      <c r="N6" s="9">
        <f>F6*0.02</f>
        <v>0.25</v>
      </c>
      <c r="O6" s="12">
        <f t="shared" si="6"/>
        <v>0.0528</v>
      </c>
      <c r="P6" s="9">
        <f t="shared" si="7"/>
        <v>0.66</v>
      </c>
    </row>
    <row r="7" s="3" customFormat="1" ht="18" customHeight="1" spans="1:16">
      <c r="A7" s="9" t="s">
        <v>43</v>
      </c>
      <c r="B7" s="9" t="s">
        <v>44</v>
      </c>
      <c r="C7" s="9" t="s">
        <v>44</v>
      </c>
      <c r="D7" s="14" t="s">
        <v>33</v>
      </c>
      <c r="E7" s="15">
        <v>28.9</v>
      </c>
      <c r="F7" s="15">
        <v>21</v>
      </c>
      <c r="G7" s="15">
        <v>23.9</v>
      </c>
      <c r="H7" s="14">
        <v>2.9</v>
      </c>
      <c r="I7" s="14">
        <v>5</v>
      </c>
      <c r="J7" s="14">
        <v>7.9</v>
      </c>
      <c r="K7" s="9">
        <v>18.75</v>
      </c>
      <c r="L7" s="9">
        <f t="shared" si="3"/>
        <v>2.25</v>
      </c>
      <c r="M7" s="12">
        <f t="shared" si="4"/>
        <v>0.107142857142857</v>
      </c>
      <c r="N7" s="9">
        <f t="shared" si="5"/>
        <v>0.63</v>
      </c>
      <c r="O7" s="12">
        <f t="shared" si="6"/>
        <v>0.0771428571428572</v>
      </c>
      <c r="P7" s="9">
        <f t="shared" si="7"/>
        <v>1.62</v>
      </c>
    </row>
    <row r="8" s="3" customFormat="1" ht="18" customHeight="1" spans="1:16">
      <c r="A8" s="16" t="s">
        <v>45</v>
      </c>
      <c r="B8" s="16" t="s">
        <v>46</v>
      </c>
      <c r="C8" s="16" t="s">
        <v>46</v>
      </c>
      <c r="D8" s="14" t="s">
        <v>36</v>
      </c>
      <c r="E8" s="15">
        <v>38.9</v>
      </c>
      <c r="F8" s="15">
        <v>30</v>
      </c>
      <c r="G8" s="15">
        <v>32.9</v>
      </c>
      <c r="H8" s="14">
        <v>2.9</v>
      </c>
      <c r="I8" s="14">
        <v>6</v>
      </c>
      <c r="J8" s="14">
        <v>8.9</v>
      </c>
      <c r="K8" s="9">
        <v>26.9</v>
      </c>
      <c r="L8" s="9">
        <f t="shared" si="3"/>
        <v>3.1</v>
      </c>
      <c r="M8" s="12">
        <f t="shared" si="4"/>
        <v>0.103333333333333</v>
      </c>
      <c r="N8" s="9">
        <f t="shared" si="5"/>
        <v>0.9</v>
      </c>
      <c r="O8" s="12">
        <f t="shared" si="6"/>
        <v>0.0733333333333334</v>
      </c>
      <c r="P8" s="9">
        <f t="shared" si="7"/>
        <v>2.2</v>
      </c>
    </row>
    <row r="9" s="1" customFormat="1" ht="18" customHeight="1" spans="1:16">
      <c r="A9" s="14" t="s">
        <v>47</v>
      </c>
      <c r="B9" s="16" t="s">
        <v>48</v>
      </c>
      <c r="C9" s="16" t="s">
        <v>48</v>
      </c>
      <c r="D9" s="14" t="s">
        <v>49</v>
      </c>
      <c r="E9" s="15">
        <v>59</v>
      </c>
      <c r="F9" s="15">
        <v>38.5</v>
      </c>
      <c r="G9" s="15">
        <v>45</v>
      </c>
      <c r="H9" s="14">
        <v>6.5</v>
      </c>
      <c r="I9" s="14">
        <v>14</v>
      </c>
      <c r="J9" s="14">
        <v>20.5</v>
      </c>
      <c r="K9" s="14">
        <v>33</v>
      </c>
    </row>
    <row r="10" s="1" customFormat="1" ht="39" customHeight="1" spans="1:16">
      <c r="B10" s="17" t="s">
        <v>50</v>
      </c>
      <c r="C10" s="17"/>
      <c r="D10" s="17"/>
      <c r="E10" s="17"/>
      <c r="F10" s="17"/>
      <c r="G10" s="17"/>
      <c r="H10" s="17"/>
      <c r="I10" s="17"/>
      <c r="J10" s="17"/>
    </row>
  </sheetData>
  <mergeCells count="2">
    <mergeCell ref="A1:J1"/>
    <mergeCell ref="B10:J1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:C4"/>
    </sheetView>
  </sheetViews>
  <sheetFormatPr defaultColWidth="9" defaultRowHeight="14.25" outlineLevelRow="3" outlineLevelCol="2"/>
  <cols>
    <col min="1" max="1" width="18.5" customWidth="1"/>
  </cols>
  <sheetData>
    <row r="1" spans="1:3">
      <c r="A1" t="s">
        <v>51</v>
      </c>
      <c r="B1" t="s">
        <v>52</v>
      </c>
      <c r="C1" t="s">
        <v>53</v>
      </c>
    </row>
    <row r="2" spans="1:3">
      <c r="A2" t="s">
        <v>54</v>
      </c>
      <c r="B2" t="s">
        <v>55</v>
      </c>
      <c r="C2" t="s">
        <v>56</v>
      </c>
    </row>
    <row r="3" spans="1:3">
      <c r="A3" t="s">
        <v>57</v>
      </c>
      <c r="B3" t="s">
        <v>58</v>
      </c>
      <c r="C3" t="s">
        <v>59</v>
      </c>
    </row>
    <row r="4" spans="1:3">
      <c r="A4" t="s">
        <v>60</v>
      </c>
      <c r="B4" t="s">
        <v>61</v>
      </c>
      <c r="C4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分销线下订单导入模板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heshan cao</dc:creator>
  <cp:lastModifiedBy>^_^</cp:lastModifiedBy>
  <dcterms:created xsi:type="dcterms:W3CDTF">2015-06-05T18:19:00Z</dcterms:created>
  <dcterms:modified xsi:type="dcterms:W3CDTF">2026-05-29T10:28:43Z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9FC2D381BD8B4951A491EAA359996619_13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